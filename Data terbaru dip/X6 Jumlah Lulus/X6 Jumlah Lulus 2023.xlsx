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922F374-C027-4CC2-BDBC-3737A419A6C4}" xr6:coauthVersionLast="47" xr6:coauthVersionMax="47" xr10:uidLastSave="{00000000-0000-0000-0000-000000000000}"/>
  <bookViews>
    <workbookView xWindow="1884" yWindow="1884" windowWidth="17580" windowHeight="8964" xr2:uid="{00000000-000D-0000-FFFF-FFFF00000000}"/>
  </bookViews>
  <sheets>
    <sheet name="Data Pendidikan 2022" sheetId="1" r:id="rId1"/>
  </sheets>
  <calcPr calcId="191029"/>
</workbook>
</file>

<file path=xl/calcChain.xml><?xml version="1.0" encoding="utf-8"?>
<calcChain xmlns="http://schemas.openxmlformats.org/spreadsheetml/2006/main">
  <c r="U36" i="1" l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V7" i="1"/>
  <c r="V6" i="1"/>
  <c r="V5" i="1"/>
  <c r="V36" i="1" s="1"/>
</calcChain>
</file>

<file path=xl/sharedStrings.xml><?xml version="1.0" encoding="utf-8"?>
<sst xmlns="http://schemas.openxmlformats.org/spreadsheetml/2006/main" count="65" uniqueCount="47">
  <si>
    <t>Data Pendidikan Menurut Kecamatan dan Jenis Kelamin di Kota Surabaya (Tahun Berjalan 2022)</t>
  </si>
  <si>
    <t>Kecamatan
Subdistrict</t>
  </si>
  <si>
    <t>Tidak/Belum Sekolah
Not in School</t>
  </si>
  <si>
    <t>Belum Tamat SD/Sederajat
Still in Elementary School</t>
  </si>
  <si>
    <t>Tamat SD/Sederajat
Elementary School Graduated</t>
  </si>
  <si>
    <t>SLTP/Sederajat
Junior High School</t>
  </si>
  <si>
    <t>SLTA/Sederajat
Senior High School</t>
  </si>
  <si>
    <t>D1/D2</t>
  </si>
  <si>
    <t>D3/Sarjana Muda</t>
  </si>
  <si>
    <t>D4/S1
Bachelor</t>
  </si>
  <si>
    <t>S2
Master</t>
  </si>
  <si>
    <t>S3
Doctor</t>
  </si>
  <si>
    <t>Jumlah
Total</t>
  </si>
  <si>
    <t>Laki-Laki
Male</t>
  </si>
  <si>
    <t>Perempuan
Female</t>
  </si>
  <si>
    <t>Karangpilang</t>
  </si>
  <si>
    <t>Jambangan</t>
  </si>
  <si>
    <t>Gayungan</t>
  </si>
  <si>
    <t>Wonocolo</t>
  </si>
  <si>
    <t>Tenggilis Mejoyo</t>
  </si>
  <si>
    <t>Gunung Anyar</t>
  </si>
  <si>
    <t>Rungkut</t>
  </si>
  <si>
    <t>Sukolilo</t>
  </si>
  <si>
    <t>Mulyorejo</t>
  </si>
  <si>
    <t>Gubeng</t>
  </si>
  <si>
    <t>Wonokromo</t>
  </si>
  <si>
    <t>Dukuh Pakis</t>
  </si>
  <si>
    <t>Wiyung</t>
  </si>
  <si>
    <t>Lakarsantri</t>
  </si>
  <si>
    <t>Sambikerep</t>
  </si>
  <si>
    <t>Tandes</t>
  </si>
  <si>
    <t>Sukomanunggal</t>
  </si>
  <si>
    <t>Sawahan</t>
  </si>
  <si>
    <t>Tegalsari</t>
  </si>
  <si>
    <t>Genteng</t>
  </si>
  <si>
    <t>Tambaksari</t>
  </si>
  <si>
    <t>Kenjeran</t>
  </si>
  <si>
    <t>Bulak</t>
  </si>
  <si>
    <t>Simokerto</t>
  </si>
  <si>
    <t>Semampir</t>
  </si>
  <si>
    <t>Pabean Cantian</t>
  </si>
  <si>
    <t>Bubutan</t>
  </si>
  <si>
    <t>Krembangan</t>
  </si>
  <si>
    <t>Asemrowo</t>
  </si>
  <si>
    <t>Benowo</t>
  </si>
  <si>
    <t>Pakal</t>
  </si>
  <si>
    <t>Kota 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</si>
</sst>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385723"/>
      <name val="Calibri"/>
    </font>
    <font>
      <b/>
      <sz val="10"/>
      <color rgb="FFFFFFFF"/>
      <name val="Calibri"/>
    </font>
    <font>
      <b/>
      <sz val="9"/>
      <color rgb="FF000000"/>
      <name val="Calibri"/>
    </font>
    <font>
      <sz val="10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85723"/>
        <bgColor rgb="FF385723"/>
      </patternFill>
    </fill>
    <fill>
      <patternFill patternType="solid">
        <fgColor rgb="FFE2EFDA"/>
        <bgColor rgb="FFE2EFDA"/>
      </patternFill>
    </fill>
    <fill>
      <patternFill patternType="solid">
        <fgColor rgb="FFF2F7F2"/>
        <bgColor rgb="FFF2F7F2"/>
      </patternFill>
    </fill>
    <fill>
      <patternFill patternType="solid">
        <fgColor rgb="FFC6E0B4"/>
        <bgColor rgb="FFC6E0B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3" fontId="5" fillId="5" borderId="2" xfId="0" applyNumberFormat="1" applyFont="1" applyFill="1" applyBorder="1" applyAlignment="1">
      <alignment horizontal="right" vertical="center"/>
    </xf>
    <xf numFmtId="0" fontId="2" fillId="2" borderId="0" xfId="0" applyFont="1" applyFill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workbookViewId="0"/>
  </sheetViews>
  <sheetFormatPr defaultRowHeight="14.4" x14ac:dyDescent="0.3"/>
  <cols>
    <col min="1" max="1" width="24" customWidth="1"/>
    <col min="2" max="21" width="13" customWidth="1"/>
    <col min="22" max="22" width="16" customWidth="1"/>
  </cols>
  <sheetData>
    <row r="1" spans="1:22" ht="25.05" customHeight="1" x14ac:dyDescent="0.35">
      <c r="A1" s="1" t="s">
        <v>0</v>
      </c>
    </row>
    <row r="3" spans="1:22" ht="34.950000000000003" customHeight="1" x14ac:dyDescent="0.3">
      <c r="A3" s="9" t="s">
        <v>1</v>
      </c>
      <c r="B3" s="9" t="s">
        <v>2</v>
      </c>
      <c r="C3" s="10"/>
      <c r="D3" s="9" t="s">
        <v>3</v>
      </c>
      <c r="E3" s="10"/>
      <c r="F3" s="9" t="s">
        <v>4</v>
      </c>
      <c r="G3" s="10"/>
      <c r="H3" s="9" t="s">
        <v>5</v>
      </c>
      <c r="I3" s="10"/>
      <c r="J3" s="9" t="s">
        <v>6</v>
      </c>
      <c r="K3" s="10"/>
      <c r="L3" s="9" t="s">
        <v>7</v>
      </c>
      <c r="M3" s="10"/>
      <c r="N3" s="9" t="s">
        <v>8</v>
      </c>
      <c r="O3" s="10"/>
      <c r="P3" s="9" t="s">
        <v>9</v>
      </c>
      <c r="Q3" s="10"/>
      <c r="R3" s="9" t="s">
        <v>10</v>
      </c>
      <c r="S3" s="10"/>
      <c r="T3" s="9" t="s">
        <v>11</v>
      </c>
      <c r="U3" s="10"/>
      <c r="V3" s="9" t="s">
        <v>12</v>
      </c>
    </row>
    <row r="4" spans="1:22" ht="25.05" customHeight="1" x14ac:dyDescent="0.3">
      <c r="A4" s="10"/>
      <c r="B4" s="2" t="s">
        <v>13</v>
      </c>
      <c r="C4" s="2" t="s">
        <v>14</v>
      </c>
      <c r="D4" s="2" t="s">
        <v>13</v>
      </c>
      <c r="E4" s="2" t="s">
        <v>14</v>
      </c>
      <c r="F4" s="2" t="s">
        <v>13</v>
      </c>
      <c r="G4" s="2" t="s">
        <v>14</v>
      </c>
      <c r="H4" s="2" t="s">
        <v>13</v>
      </c>
      <c r="I4" s="2" t="s">
        <v>14</v>
      </c>
      <c r="J4" s="2" t="s">
        <v>13</v>
      </c>
      <c r="K4" s="2" t="s">
        <v>14</v>
      </c>
      <c r="L4" s="2" t="s">
        <v>13</v>
      </c>
      <c r="M4" s="2" t="s">
        <v>14</v>
      </c>
      <c r="N4" s="2" t="s">
        <v>13</v>
      </c>
      <c r="O4" s="2" t="s">
        <v>14</v>
      </c>
      <c r="P4" s="2" t="s">
        <v>13</v>
      </c>
      <c r="Q4" s="2" t="s">
        <v>14</v>
      </c>
      <c r="R4" s="2" t="s">
        <v>13</v>
      </c>
      <c r="S4" s="2" t="s">
        <v>14</v>
      </c>
      <c r="T4" s="2" t="s">
        <v>13</v>
      </c>
      <c r="U4" s="2" t="s">
        <v>14</v>
      </c>
      <c r="V4" s="10"/>
    </row>
    <row r="5" spans="1:22" ht="19.95" customHeight="1" x14ac:dyDescent="0.3">
      <c r="A5" s="3" t="s">
        <v>15</v>
      </c>
      <c r="B5" s="4">
        <v>9434</v>
      </c>
      <c r="C5" s="4">
        <v>8951</v>
      </c>
      <c r="D5" s="4">
        <v>2897</v>
      </c>
      <c r="E5" s="4">
        <v>2963</v>
      </c>
      <c r="F5" s="4">
        <v>2997</v>
      </c>
      <c r="G5" s="4">
        <v>4132</v>
      </c>
      <c r="H5" s="4">
        <v>3806</v>
      </c>
      <c r="I5" s="4">
        <v>4124</v>
      </c>
      <c r="J5" s="4">
        <v>12289</v>
      </c>
      <c r="K5" s="4">
        <v>11513</v>
      </c>
      <c r="L5" s="4">
        <v>327</v>
      </c>
      <c r="M5" s="4">
        <v>440</v>
      </c>
      <c r="N5" s="4">
        <v>566</v>
      </c>
      <c r="O5" s="4">
        <v>814</v>
      </c>
      <c r="P5" s="4">
        <v>4403</v>
      </c>
      <c r="Q5" s="4">
        <v>4608</v>
      </c>
      <c r="R5" s="4">
        <v>351</v>
      </c>
      <c r="S5" s="4">
        <v>279</v>
      </c>
      <c r="T5" s="4">
        <v>22</v>
      </c>
      <c r="U5" s="4">
        <v>15</v>
      </c>
      <c r="V5" s="4">
        <f t="shared" ref="V5:V35" si="0">SUM(B5:U5)</f>
        <v>74931</v>
      </c>
    </row>
    <row r="6" spans="1:22" ht="19.95" customHeight="1" x14ac:dyDescent="0.3">
      <c r="A6" s="5" t="s">
        <v>16</v>
      </c>
      <c r="B6" s="6">
        <v>6210</v>
      </c>
      <c r="C6" s="6">
        <v>5788</v>
      </c>
      <c r="D6" s="6">
        <v>2369</v>
      </c>
      <c r="E6" s="6">
        <v>2268</v>
      </c>
      <c r="F6" s="6">
        <v>1704</v>
      </c>
      <c r="G6" s="6">
        <v>2561</v>
      </c>
      <c r="H6" s="6">
        <v>2547</v>
      </c>
      <c r="I6" s="6">
        <v>2820</v>
      </c>
      <c r="J6" s="6">
        <v>8249</v>
      </c>
      <c r="K6" s="6">
        <v>7891</v>
      </c>
      <c r="L6" s="6">
        <v>217</v>
      </c>
      <c r="M6" s="6">
        <v>267</v>
      </c>
      <c r="N6" s="6">
        <v>549</v>
      </c>
      <c r="O6" s="6">
        <v>774</v>
      </c>
      <c r="P6" s="6">
        <v>4159</v>
      </c>
      <c r="Q6" s="6">
        <v>4399</v>
      </c>
      <c r="R6" s="6">
        <v>475</v>
      </c>
      <c r="S6" s="6">
        <v>345</v>
      </c>
      <c r="T6" s="6">
        <v>29</v>
      </c>
      <c r="U6" s="6">
        <v>18</v>
      </c>
      <c r="V6" s="6">
        <f t="shared" si="0"/>
        <v>53639</v>
      </c>
    </row>
    <row r="7" spans="1:22" ht="19.95" customHeight="1" x14ac:dyDescent="0.3">
      <c r="A7" s="3" t="s">
        <v>17</v>
      </c>
      <c r="B7" s="4">
        <v>5780</v>
      </c>
      <c r="C7" s="4">
        <v>5396</v>
      </c>
      <c r="D7" s="4">
        <v>1445</v>
      </c>
      <c r="E7" s="4">
        <v>1425</v>
      </c>
      <c r="F7" s="4">
        <v>1377</v>
      </c>
      <c r="G7" s="4">
        <v>1938</v>
      </c>
      <c r="H7" s="4">
        <v>1659</v>
      </c>
      <c r="I7" s="4">
        <v>1966</v>
      </c>
      <c r="J7" s="4">
        <v>5919</v>
      </c>
      <c r="K7" s="4">
        <v>6280</v>
      </c>
      <c r="L7" s="4">
        <v>189</v>
      </c>
      <c r="M7" s="4">
        <v>264</v>
      </c>
      <c r="N7" s="4">
        <v>402</v>
      </c>
      <c r="O7" s="4">
        <v>573</v>
      </c>
      <c r="P7" s="4">
        <v>3982</v>
      </c>
      <c r="Q7" s="4">
        <v>4091</v>
      </c>
      <c r="R7" s="4">
        <v>519</v>
      </c>
      <c r="S7" s="4">
        <v>357</v>
      </c>
      <c r="T7" s="4">
        <v>34</v>
      </c>
      <c r="U7" s="4">
        <v>21</v>
      </c>
      <c r="V7" s="4">
        <f t="shared" si="0"/>
        <v>43617</v>
      </c>
    </row>
    <row r="8" spans="1:22" ht="19.95" customHeight="1" x14ac:dyDescent="0.3">
      <c r="A8" s="5" t="s">
        <v>18</v>
      </c>
      <c r="B8" s="6">
        <v>10344</v>
      </c>
      <c r="C8" s="6">
        <v>9814</v>
      </c>
      <c r="D8" s="6">
        <v>3308</v>
      </c>
      <c r="E8" s="6">
        <v>3178</v>
      </c>
      <c r="F8" s="6">
        <v>2980</v>
      </c>
      <c r="G8" s="6">
        <v>4184</v>
      </c>
      <c r="H8" s="6">
        <v>4087</v>
      </c>
      <c r="I8" s="6">
        <v>4657</v>
      </c>
      <c r="J8" s="6">
        <v>11673</v>
      </c>
      <c r="K8" s="6">
        <v>11290</v>
      </c>
      <c r="L8" s="6">
        <v>304</v>
      </c>
      <c r="M8" s="6">
        <v>349</v>
      </c>
      <c r="N8" s="6">
        <v>623</v>
      </c>
      <c r="O8" s="6">
        <v>847</v>
      </c>
      <c r="P8" s="6">
        <v>5373</v>
      </c>
      <c r="Q8" s="6">
        <v>5538</v>
      </c>
      <c r="R8" s="6">
        <v>515</v>
      </c>
      <c r="S8" s="6">
        <v>415</v>
      </c>
      <c r="T8" s="6">
        <v>57</v>
      </c>
      <c r="U8" s="6">
        <v>23</v>
      </c>
      <c r="V8" s="6">
        <f t="shared" si="0"/>
        <v>79559</v>
      </c>
    </row>
    <row r="9" spans="1:22" ht="19.95" customHeight="1" x14ac:dyDescent="0.3">
      <c r="A9" s="3" t="s">
        <v>19</v>
      </c>
      <c r="B9" s="4">
        <v>6836</v>
      </c>
      <c r="C9" s="4">
        <v>6472</v>
      </c>
      <c r="D9" s="4">
        <v>2484</v>
      </c>
      <c r="E9" s="4">
        <v>2362</v>
      </c>
      <c r="F9" s="4">
        <v>2308</v>
      </c>
      <c r="G9" s="4">
        <v>3212</v>
      </c>
      <c r="H9" s="4">
        <v>3141</v>
      </c>
      <c r="I9" s="4">
        <v>3570</v>
      </c>
      <c r="J9" s="4">
        <v>8815</v>
      </c>
      <c r="K9" s="4">
        <v>8435</v>
      </c>
      <c r="L9" s="4">
        <v>174</v>
      </c>
      <c r="M9" s="4">
        <v>256</v>
      </c>
      <c r="N9" s="4">
        <v>451</v>
      </c>
      <c r="O9" s="4">
        <v>728</v>
      </c>
      <c r="P9" s="4">
        <v>4229</v>
      </c>
      <c r="Q9" s="4">
        <v>4442</v>
      </c>
      <c r="R9" s="4">
        <v>409</v>
      </c>
      <c r="S9" s="4">
        <v>322</v>
      </c>
      <c r="T9" s="4">
        <v>31</v>
      </c>
      <c r="U9" s="4">
        <v>18</v>
      </c>
      <c r="V9" s="4">
        <f t="shared" si="0"/>
        <v>58695</v>
      </c>
    </row>
    <row r="10" spans="1:22" ht="19.95" customHeight="1" x14ac:dyDescent="0.3">
      <c r="A10" s="5" t="s">
        <v>20</v>
      </c>
      <c r="B10" s="6">
        <v>7557</v>
      </c>
      <c r="C10" s="6">
        <v>6994</v>
      </c>
      <c r="D10" s="6">
        <v>2663</v>
      </c>
      <c r="E10" s="6">
        <v>2502</v>
      </c>
      <c r="F10" s="6">
        <v>2092</v>
      </c>
      <c r="G10" s="6">
        <v>2873</v>
      </c>
      <c r="H10" s="6">
        <v>2830</v>
      </c>
      <c r="I10" s="6">
        <v>3333</v>
      </c>
      <c r="J10" s="6">
        <v>7875</v>
      </c>
      <c r="K10" s="6">
        <v>7808</v>
      </c>
      <c r="L10" s="6">
        <v>256</v>
      </c>
      <c r="M10" s="6">
        <v>333</v>
      </c>
      <c r="N10" s="6">
        <v>589</v>
      </c>
      <c r="O10" s="6">
        <v>755</v>
      </c>
      <c r="P10" s="6">
        <v>5481</v>
      </c>
      <c r="Q10" s="6">
        <v>5596</v>
      </c>
      <c r="R10" s="6">
        <v>537</v>
      </c>
      <c r="S10" s="6">
        <v>393</v>
      </c>
      <c r="T10" s="6">
        <v>45</v>
      </c>
      <c r="U10" s="6">
        <v>23</v>
      </c>
      <c r="V10" s="6">
        <f t="shared" si="0"/>
        <v>60535</v>
      </c>
    </row>
    <row r="11" spans="1:22" ht="19.95" customHeight="1" x14ac:dyDescent="0.3">
      <c r="A11" s="3" t="s">
        <v>21</v>
      </c>
      <c r="B11" s="4">
        <v>14668</v>
      </c>
      <c r="C11" s="4">
        <v>13831</v>
      </c>
      <c r="D11" s="4">
        <v>4613</v>
      </c>
      <c r="E11" s="4">
        <v>4425</v>
      </c>
      <c r="F11" s="4">
        <v>4448</v>
      </c>
      <c r="G11" s="4">
        <v>5928</v>
      </c>
      <c r="H11" s="4">
        <v>5769</v>
      </c>
      <c r="I11" s="4">
        <v>6694</v>
      </c>
      <c r="J11" s="4">
        <v>16852</v>
      </c>
      <c r="K11" s="4">
        <v>16382</v>
      </c>
      <c r="L11" s="4">
        <v>424</v>
      </c>
      <c r="M11" s="4">
        <v>515</v>
      </c>
      <c r="N11" s="4">
        <v>1093</v>
      </c>
      <c r="O11" s="4">
        <v>1432</v>
      </c>
      <c r="P11" s="4">
        <v>10172</v>
      </c>
      <c r="Q11" s="4">
        <v>10701</v>
      </c>
      <c r="R11" s="4">
        <v>1087</v>
      </c>
      <c r="S11" s="4">
        <v>839</v>
      </c>
      <c r="T11" s="4">
        <v>126</v>
      </c>
      <c r="U11" s="4">
        <v>68</v>
      </c>
      <c r="V11" s="4">
        <f t="shared" si="0"/>
        <v>120067</v>
      </c>
    </row>
    <row r="12" spans="1:22" ht="19.95" customHeight="1" x14ac:dyDescent="0.3">
      <c r="A12" s="5" t="s">
        <v>22</v>
      </c>
      <c r="B12" s="6">
        <v>16730</v>
      </c>
      <c r="C12" s="6">
        <v>15747</v>
      </c>
      <c r="D12" s="6">
        <v>3314</v>
      </c>
      <c r="E12" s="6">
        <v>3319</v>
      </c>
      <c r="F12" s="6">
        <v>5928</v>
      </c>
      <c r="G12" s="6">
        <v>7197</v>
      </c>
      <c r="H12" s="6">
        <v>5550</v>
      </c>
      <c r="I12" s="6">
        <v>5955</v>
      </c>
      <c r="J12" s="6">
        <v>13163</v>
      </c>
      <c r="K12" s="6">
        <v>13459</v>
      </c>
      <c r="L12" s="6">
        <v>478</v>
      </c>
      <c r="M12" s="6">
        <v>572</v>
      </c>
      <c r="N12" s="6">
        <v>764</v>
      </c>
      <c r="O12" s="6">
        <v>1038</v>
      </c>
      <c r="P12" s="6">
        <v>8889</v>
      </c>
      <c r="Q12" s="6">
        <v>9353</v>
      </c>
      <c r="R12" s="6">
        <v>1140</v>
      </c>
      <c r="S12" s="6">
        <v>954</v>
      </c>
      <c r="T12" s="6">
        <v>228</v>
      </c>
      <c r="U12" s="6">
        <v>98</v>
      </c>
      <c r="V12" s="6">
        <f t="shared" si="0"/>
        <v>113876</v>
      </c>
    </row>
    <row r="13" spans="1:22" ht="19.95" customHeight="1" x14ac:dyDescent="0.3">
      <c r="A13" s="3" t="s">
        <v>23</v>
      </c>
      <c r="B13" s="4">
        <v>12194</v>
      </c>
      <c r="C13" s="4">
        <v>11288</v>
      </c>
      <c r="D13" s="4">
        <v>2494</v>
      </c>
      <c r="E13" s="4">
        <v>2386</v>
      </c>
      <c r="F13" s="4">
        <v>3787</v>
      </c>
      <c r="G13" s="4">
        <v>4917</v>
      </c>
      <c r="H13" s="4">
        <v>4080</v>
      </c>
      <c r="I13" s="4">
        <v>4595</v>
      </c>
      <c r="J13" s="4">
        <v>11071</v>
      </c>
      <c r="K13" s="4">
        <v>11478</v>
      </c>
      <c r="L13" s="4">
        <v>290</v>
      </c>
      <c r="M13" s="4">
        <v>373</v>
      </c>
      <c r="N13" s="4">
        <v>521</v>
      </c>
      <c r="O13" s="4">
        <v>779</v>
      </c>
      <c r="P13" s="4">
        <v>7502</v>
      </c>
      <c r="Q13" s="4">
        <v>7746</v>
      </c>
      <c r="R13" s="4">
        <v>694</v>
      </c>
      <c r="S13" s="4">
        <v>509</v>
      </c>
      <c r="T13" s="4">
        <v>65</v>
      </c>
      <c r="U13" s="4">
        <v>55</v>
      </c>
      <c r="V13" s="4">
        <f t="shared" si="0"/>
        <v>86824</v>
      </c>
    </row>
    <row r="14" spans="1:22" ht="19.95" customHeight="1" x14ac:dyDescent="0.3">
      <c r="A14" s="5" t="s">
        <v>24</v>
      </c>
      <c r="B14" s="6">
        <v>15953</v>
      </c>
      <c r="C14" s="6">
        <v>14878</v>
      </c>
      <c r="D14" s="6">
        <v>5703</v>
      </c>
      <c r="E14" s="6">
        <v>5474</v>
      </c>
      <c r="F14" s="6">
        <v>4403</v>
      </c>
      <c r="G14" s="6">
        <v>6729</v>
      </c>
      <c r="H14" s="6">
        <v>6674</v>
      </c>
      <c r="I14" s="6">
        <v>7722</v>
      </c>
      <c r="J14" s="6">
        <v>20984</v>
      </c>
      <c r="K14" s="6">
        <v>20933</v>
      </c>
      <c r="L14" s="6">
        <v>251</v>
      </c>
      <c r="M14" s="6">
        <v>337</v>
      </c>
      <c r="N14" s="6">
        <v>1198</v>
      </c>
      <c r="O14" s="6">
        <v>1760</v>
      </c>
      <c r="P14" s="6">
        <v>9486</v>
      </c>
      <c r="Q14" s="6">
        <v>10042</v>
      </c>
      <c r="R14" s="6">
        <v>721</v>
      </c>
      <c r="S14" s="6">
        <v>557</v>
      </c>
      <c r="T14" s="6">
        <v>60</v>
      </c>
      <c r="U14" s="6">
        <v>35</v>
      </c>
      <c r="V14" s="6">
        <f t="shared" si="0"/>
        <v>133900</v>
      </c>
    </row>
    <row r="15" spans="1:22" ht="19.95" customHeight="1" x14ac:dyDescent="0.3">
      <c r="A15" s="3" t="s">
        <v>25</v>
      </c>
      <c r="B15" s="4">
        <v>19283</v>
      </c>
      <c r="C15" s="4">
        <v>18308</v>
      </c>
      <c r="D15" s="4">
        <v>6452</v>
      </c>
      <c r="E15" s="4">
        <v>6088</v>
      </c>
      <c r="F15" s="4">
        <v>5812</v>
      </c>
      <c r="G15" s="4">
        <v>8810</v>
      </c>
      <c r="H15" s="4">
        <v>7929</v>
      </c>
      <c r="I15" s="4">
        <v>9556</v>
      </c>
      <c r="J15" s="4">
        <v>26529</v>
      </c>
      <c r="K15" s="4">
        <v>25414</v>
      </c>
      <c r="L15" s="4">
        <v>553</v>
      </c>
      <c r="M15" s="4">
        <v>633</v>
      </c>
      <c r="N15" s="4">
        <v>926</v>
      </c>
      <c r="O15" s="4">
        <v>1328</v>
      </c>
      <c r="P15" s="4">
        <v>8249</v>
      </c>
      <c r="Q15" s="4">
        <v>8699</v>
      </c>
      <c r="R15" s="4">
        <v>493</v>
      </c>
      <c r="S15" s="4">
        <v>449</v>
      </c>
      <c r="T15" s="4">
        <v>29</v>
      </c>
      <c r="U15" s="4">
        <v>19</v>
      </c>
      <c r="V15" s="4">
        <f t="shared" si="0"/>
        <v>155559</v>
      </c>
    </row>
    <row r="16" spans="1:22" ht="19.95" customHeight="1" x14ac:dyDescent="0.3">
      <c r="A16" s="5" t="s">
        <v>26</v>
      </c>
      <c r="B16" s="6">
        <v>7799</v>
      </c>
      <c r="C16" s="6">
        <v>7175</v>
      </c>
      <c r="D16" s="6">
        <v>2169</v>
      </c>
      <c r="E16" s="6">
        <v>2097</v>
      </c>
      <c r="F16" s="6">
        <v>2765</v>
      </c>
      <c r="G16" s="6">
        <v>3640</v>
      </c>
      <c r="H16" s="6">
        <v>2985</v>
      </c>
      <c r="I16" s="6">
        <v>3216</v>
      </c>
      <c r="J16" s="6">
        <v>8991</v>
      </c>
      <c r="K16" s="6">
        <v>8906</v>
      </c>
      <c r="L16" s="6">
        <v>200</v>
      </c>
      <c r="M16" s="6">
        <v>233</v>
      </c>
      <c r="N16" s="6">
        <v>440</v>
      </c>
      <c r="O16" s="6">
        <v>604</v>
      </c>
      <c r="P16" s="6">
        <v>3648</v>
      </c>
      <c r="Q16" s="6">
        <v>3897</v>
      </c>
      <c r="R16" s="6">
        <v>307</v>
      </c>
      <c r="S16" s="6">
        <v>188</v>
      </c>
      <c r="T16" s="6">
        <v>19</v>
      </c>
      <c r="U16" s="6">
        <v>14</v>
      </c>
      <c r="V16" s="6">
        <f t="shared" si="0"/>
        <v>59293</v>
      </c>
    </row>
    <row r="17" spans="1:22" ht="19.95" customHeight="1" x14ac:dyDescent="0.3">
      <c r="A17" s="3" t="s">
        <v>27</v>
      </c>
      <c r="B17" s="4">
        <v>9742</v>
      </c>
      <c r="C17" s="4">
        <v>9083</v>
      </c>
      <c r="D17" s="4">
        <v>3037</v>
      </c>
      <c r="E17" s="4">
        <v>2913</v>
      </c>
      <c r="F17" s="4">
        <v>3536</v>
      </c>
      <c r="G17" s="4">
        <v>4579</v>
      </c>
      <c r="H17" s="4">
        <v>3566</v>
      </c>
      <c r="I17" s="4">
        <v>3684</v>
      </c>
      <c r="J17" s="4">
        <v>10593</v>
      </c>
      <c r="K17" s="4">
        <v>10254</v>
      </c>
      <c r="L17" s="4">
        <v>228</v>
      </c>
      <c r="M17" s="4">
        <v>263</v>
      </c>
      <c r="N17" s="4">
        <v>586</v>
      </c>
      <c r="O17" s="4">
        <v>815</v>
      </c>
      <c r="P17" s="4">
        <v>5159</v>
      </c>
      <c r="Q17" s="4">
        <v>5348</v>
      </c>
      <c r="R17" s="4">
        <v>472</v>
      </c>
      <c r="S17" s="4">
        <v>329</v>
      </c>
      <c r="T17" s="4">
        <v>24</v>
      </c>
      <c r="U17" s="4">
        <v>13</v>
      </c>
      <c r="V17" s="4">
        <f t="shared" si="0"/>
        <v>74224</v>
      </c>
    </row>
    <row r="18" spans="1:22" ht="19.95" customHeight="1" x14ac:dyDescent="0.3">
      <c r="A18" s="5" t="s">
        <v>28</v>
      </c>
      <c r="B18" s="6">
        <v>10117</v>
      </c>
      <c r="C18" s="6">
        <v>9664</v>
      </c>
      <c r="D18" s="6">
        <v>1913</v>
      </c>
      <c r="E18" s="6">
        <v>1860</v>
      </c>
      <c r="F18" s="6">
        <v>3879</v>
      </c>
      <c r="G18" s="6">
        <v>4910</v>
      </c>
      <c r="H18" s="6">
        <v>3080</v>
      </c>
      <c r="I18" s="6">
        <v>3092</v>
      </c>
      <c r="J18" s="6">
        <v>8772</v>
      </c>
      <c r="K18" s="6">
        <v>7867</v>
      </c>
      <c r="L18" s="6">
        <v>145</v>
      </c>
      <c r="M18" s="6">
        <v>208</v>
      </c>
      <c r="N18" s="6">
        <v>308</v>
      </c>
      <c r="O18" s="6">
        <v>437</v>
      </c>
      <c r="P18" s="6">
        <v>3068</v>
      </c>
      <c r="Q18" s="6">
        <v>3292</v>
      </c>
      <c r="R18" s="6">
        <v>210</v>
      </c>
      <c r="S18" s="6">
        <v>178</v>
      </c>
      <c r="T18" s="6">
        <v>12</v>
      </c>
      <c r="U18" s="6">
        <v>5</v>
      </c>
      <c r="V18" s="6">
        <f t="shared" si="0"/>
        <v>63017</v>
      </c>
    </row>
    <row r="19" spans="1:22" ht="19.95" customHeight="1" x14ac:dyDescent="0.3">
      <c r="A19" s="3" t="s">
        <v>29</v>
      </c>
      <c r="B19" s="4">
        <v>8544</v>
      </c>
      <c r="C19" s="4">
        <v>8276</v>
      </c>
      <c r="D19" s="4">
        <v>2748</v>
      </c>
      <c r="E19" s="4">
        <v>2569</v>
      </c>
      <c r="F19" s="4">
        <v>3775</v>
      </c>
      <c r="G19" s="4">
        <v>4845</v>
      </c>
      <c r="H19" s="4">
        <v>3700</v>
      </c>
      <c r="I19" s="4">
        <v>4222</v>
      </c>
      <c r="J19" s="4">
        <v>9894</v>
      </c>
      <c r="K19" s="4">
        <v>8906</v>
      </c>
      <c r="L19" s="4">
        <v>154</v>
      </c>
      <c r="M19" s="4">
        <v>189</v>
      </c>
      <c r="N19" s="4">
        <v>456</v>
      </c>
      <c r="O19" s="4">
        <v>651</v>
      </c>
      <c r="P19" s="4">
        <v>3655</v>
      </c>
      <c r="Q19" s="4">
        <v>3747</v>
      </c>
      <c r="R19" s="4">
        <v>270</v>
      </c>
      <c r="S19" s="4">
        <v>176</v>
      </c>
      <c r="T19" s="4">
        <v>14</v>
      </c>
      <c r="U19" s="4">
        <v>5</v>
      </c>
      <c r="V19" s="4">
        <f t="shared" si="0"/>
        <v>66796</v>
      </c>
    </row>
    <row r="20" spans="1:22" ht="19.95" customHeight="1" x14ac:dyDescent="0.3">
      <c r="A20" s="5" t="s">
        <v>30</v>
      </c>
      <c r="B20" s="6">
        <v>12851</v>
      </c>
      <c r="C20" s="6">
        <v>12326</v>
      </c>
      <c r="D20" s="6">
        <v>3811</v>
      </c>
      <c r="E20" s="6">
        <v>3568</v>
      </c>
      <c r="F20" s="6">
        <v>3782</v>
      </c>
      <c r="G20" s="6">
        <v>5436</v>
      </c>
      <c r="H20" s="6">
        <v>4818</v>
      </c>
      <c r="I20" s="6">
        <v>5626</v>
      </c>
      <c r="J20" s="6">
        <v>14035</v>
      </c>
      <c r="K20" s="6">
        <v>13264</v>
      </c>
      <c r="L20" s="6">
        <v>256</v>
      </c>
      <c r="M20" s="6">
        <v>309</v>
      </c>
      <c r="N20" s="6">
        <v>735</v>
      </c>
      <c r="O20" s="6">
        <v>994</v>
      </c>
      <c r="P20" s="6">
        <v>4643</v>
      </c>
      <c r="Q20" s="6">
        <v>4853</v>
      </c>
      <c r="R20" s="6">
        <v>261</v>
      </c>
      <c r="S20" s="6">
        <v>208</v>
      </c>
      <c r="T20" s="6">
        <v>3</v>
      </c>
      <c r="U20" s="6">
        <v>5</v>
      </c>
      <c r="V20" s="6">
        <f t="shared" si="0"/>
        <v>91784</v>
      </c>
    </row>
    <row r="21" spans="1:22" ht="19.95" customHeight="1" x14ac:dyDescent="0.3">
      <c r="A21" s="3" t="s">
        <v>31</v>
      </c>
      <c r="B21" s="4">
        <v>15111</v>
      </c>
      <c r="C21" s="4">
        <v>14206</v>
      </c>
      <c r="D21" s="4">
        <v>3631</v>
      </c>
      <c r="E21" s="4">
        <v>3609</v>
      </c>
      <c r="F21" s="4">
        <v>5355</v>
      </c>
      <c r="G21" s="4">
        <v>7164</v>
      </c>
      <c r="H21" s="4">
        <v>5662</v>
      </c>
      <c r="I21" s="4">
        <v>6161</v>
      </c>
      <c r="J21" s="4">
        <v>16225</v>
      </c>
      <c r="K21" s="4">
        <v>15201</v>
      </c>
      <c r="L21" s="4">
        <v>245</v>
      </c>
      <c r="M21" s="4">
        <v>372</v>
      </c>
      <c r="N21" s="4">
        <v>484</v>
      </c>
      <c r="O21" s="4">
        <v>684</v>
      </c>
      <c r="P21" s="4">
        <v>4742</v>
      </c>
      <c r="Q21" s="4">
        <v>4909</v>
      </c>
      <c r="R21" s="4">
        <v>266</v>
      </c>
      <c r="S21" s="4">
        <v>217</v>
      </c>
      <c r="T21" s="4">
        <v>18</v>
      </c>
      <c r="U21" s="4">
        <v>9</v>
      </c>
      <c r="V21" s="4">
        <f t="shared" si="0"/>
        <v>104271</v>
      </c>
    </row>
    <row r="22" spans="1:22" ht="19.95" customHeight="1" x14ac:dyDescent="0.3">
      <c r="A22" s="5" t="s">
        <v>32</v>
      </c>
      <c r="B22" s="6">
        <v>32401</v>
      </c>
      <c r="C22" s="6">
        <v>30602</v>
      </c>
      <c r="D22" s="6">
        <v>4925</v>
      </c>
      <c r="E22" s="6">
        <v>4789</v>
      </c>
      <c r="F22" s="6">
        <v>11784</v>
      </c>
      <c r="G22" s="6">
        <v>15886</v>
      </c>
      <c r="H22" s="6">
        <v>11405</v>
      </c>
      <c r="I22" s="6">
        <v>12734</v>
      </c>
      <c r="J22" s="6">
        <v>29137</v>
      </c>
      <c r="K22" s="6">
        <v>27687</v>
      </c>
      <c r="L22" s="6">
        <v>301</v>
      </c>
      <c r="M22" s="6">
        <v>325</v>
      </c>
      <c r="N22" s="6">
        <v>964</v>
      </c>
      <c r="O22" s="6">
        <v>1285</v>
      </c>
      <c r="P22" s="6">
        <v>7062</v>
      </c>
      <c r="Q22" s="6">
        <v>7362</v>
      </c>
      <c r="R22" s="6">
        <v>458</v>
      </c>
      <c r="S22" s="6">
        <v>409</v>
      </c>
      <c r="T22" s="6">
        <v>27</v>
      </c>
      <c r="U22" s="6">
        <v>5</v>
      </c>
      <c r="V22" s="6">
        <f t="shared" si="0"/>
        <v>199548</v>
      </c>
    </row>
    <row r="23" spans="1:22" ht="19.95" customHeight="1" x14ac:dyDescent="0.3">
      <c r="A23" s="3" t="s">
        <v>33</v>
      </c>
      <c r="B23" s="4">
        <v>11176</v>
      </c>
      <c r="C23" s="4">
        <v>10786</v>
      </c>
      <c r="D23" s="4">
        <v>4401</v>
      </c>
      <c r="E23" s="4">
        <v>4143</v>
      </c>
      <c r="F23" s="4">
        <v>4139</v>
      </c>
      <c r="G23" s="4">
        <v>6061</v>
      </c>
      <c r="H23" s="4">
        <v>5722</v>
      </c>
      <c r="I23" s="4">
        <v>6457</v>
      </c>
      <c r="J23" s="4">
        <v>18108</v>
      </c>
      <c r="K23" s="4">
        <v>17236</v>
      </c>
      <c r="L23" s="4">
        <v>226</v>
      </c>
      <c r="M23" s="4">
        <v>289</v>
      </c>
      <c r="N23" s="4">
        <v>656</v>
      </c>
      <c r="O23" s="4">
        <v>744</v>
      </c>
      <c r="P23" s="4">
        <v>3824</v>
      </c>
      <c r="Q23" s="4">
        <v>4082</v>
      </c>
      <c r="R23" s="4">
        <v>231</v>
      </c>
      <c r="S23" s="4">
        <v>177</v>
      </c>
      <c r="T23" s="4">
        <v>19</v>
      </c>
      <c r="U23" s="4">
        <v>7</v>
      </c>
      <c r="V23" s="4">
        <f t="shared" si="0"/>
        <v>98484</v>
      </c>
    </row>
    <row r="24" spans="1:22" ht="19.95" customHeight="1" x14ac:dyDescent="0.3">
      <c r="A24" s="5" t="s">
        <v>34</v>
      </c>
      <c r="B24" s="6">
        <v>7239</v>
      </c>
      <c r="C24" s="6">
        <v>7016</v>
      </c>
      <c r="D24" s="6">
        <v>2464</v>
      </c>
      <c r="E24" s="6">
        <v>2499</v>
      </c>
      <c r="F24" s="6">
        <v>3287</v>
      </c>
      <c r="G24" s="6">
        <v>4325</v>
      </c>
      <c r="H24" s="6">
        <v>3489</v>
      </c>
      <c r="I24" s="6">
        <v>3880</v>
      </c>
      <c r="J24" s="6">
        <v>8985</v>
      </c>
      <c r="K24" s="6">
        <v>8601</v>
      </c>
      <c r="L24" s="6">
        <v>120</v>
      </c>
      <c r="M24" s="6">
        <v>172</v>
      </c>
      <c r="N24" s="6">
        <v>255</v>
      </c>
      <c r="O24" s="6">
        <v>374</v>
      </c>
      <c r="P24" s="6">
        <v>2719</v>
      </c>
      <c r="Q24" s="6">
        <v>2876</v>
      </c>
      <c r="R24" s="6">
        <v>155</v>
      </c>
      <c r="S24" s="6">
        <v>119</v>
      </c>
      <c r="T24" s="6">
        <v>20</v>
      </c>
      <c r="U24" s="6">
        <v>6</v>
      </c>
      <c r="V24" s="6">
        <f t="shared" si="0"/>
        <v>58601</v>
      </c>
    </row>
    <row r="25" spans="1:22" ht="19.95" customHeight="1" x14ac:dyDescent="0.3">
      <c r="A25" s="3" t="s">
        <v>35</v>
      </c>
      <c r="B25" s="4">
        <v>38355</v>
      </c>
      <c r="C25" s="4">
        <v>35897</v>
      </c>
      <c r="D25" s="4">
        <v>4645</v>
      </c>
      <c r="E25" s="4">
        <v>4633</v>
      </c>
      <c r="F25" s="4">
        <v>13715</v>
      </c>
      <c r="G25" s="4">
        <v>17742</v>
      </c>
      <c r="H25" s="4">
        <v>13157</v>
      </c>
      <c r="I25" s="4">
        <v>14382</v>
      </c>
      <c r="J25" s="4">
        <v>31349</v>
      </c>
      <c r="K25" s="4">
        <v>30021</v>
      </c>
      <c r="L25" s="4">
        <v>609</v>
      </c>
      <c r="M25" s="4">
        <v>725</v>
      </c>
      <c r="N25" s="4">
        <v>1077</v>
      </c>
      <c r="O25" s="4">
        <v>1605</v>
      </c>
      <c r="P25" s="4">
        <v>8231</v>
      </c>
      <c r="Q25" s="4">
        <v>8876</v>
      </c>
      <c r="R25" s="4">
        <v>567</v>
      </c>
      <c r="S25" s="4">
        <v>483</v>
      </c>
      <c r="T25" s="4">
        <v>35</v>
      </c>
      <c r="U25" s="4">
        <v>32</v>
      </c>
      <c r="V25" s="4">
        <f t="shared" si="0"/>
        <v>226136</v>
      </c>
    </row>
    <row r="26" spans="1:22" ht="19.95" customHeight="1" x14ac:dyDescent="0.3">
      <c r="A26" s="5" t="s">
        <v>36</v>
      </c>
      <c r="B26" s="6">
        <v>28414</v>
      </c>
      <c r="C26" s="6">
        <v>27022</v>
      </c>
      <c r="D26" s="6">
        <v>7402</v>
      </c>
      <c r="E26" s="6">
        <v>7340</v>
      </c>
      <c r="F26" s="6">
        <v>17203</v>
      </c>
      <c r="G26" s="6">
        <v>20152</v>
      </c>
      <c r="H26" s="6">
        <v>11095</v>
      </c>
      <c r="I26" s="6">
        <v>11080</v>
      </c>
      <c r="J26" s="6">
        <v>21378</v>
      </c>
      <c r="K26" s="6">
        <v>18215</v>
      </c>
      <c r="L26" s="6">
        <v>335</v>
      </c>
      <c r="M26" s="6">
        <v>373</v>
      </c>
      <c r="N26" s="6">
        <v>353</v>
      </c>
      <c r="O26" s="6">
        <v>674</v>
      </c>
      <c r="P26" s="6">
        <v>2994</v>
      </c>
      <c r="Q26" s="6">
        <v>3202</v>
      </c>
      <c r="R26" s="6">
        <v>170</v>
      </c>
      <c r="S26" s="6">
        <v>148</v>
      </c>
      <c r="T26" s="6">
        <v>8</v>
      </c>
      <c r="U26" s="6">
        <v>3</v>
      </c>
      <c r="V26" s="6">
        <f t="shared" si="0"/>
        <v>177561</v>
      </c>
    </row>
    <row r="27" spans="1:22" ht="19.95" customHeight="1" x14ac:dyDescent="0.3">
      <c r="A27" s="3" t="s">
        <v>37</v>
      </c>
      <c r="B27" s="4">
        <v>7190</v>
      </c>
      <c r="C27" s="4">
        <v>7014</v>
      </c>
      <c r="D27" s="4">
        <v>1595</v>
      </c>
      <c r="E27" s="4">
        <v>1494</v>
      </c>
      <c r="F27" s="4">
        <v>3544</v>
      </c>
      <c r="G27" s="4">
        <v>4415</v>
      </c>
      <c r="H27" s="4">
        <v>2854</v>
      </c>
      <c r="I27" s="4">
        <v>2817</v>
      </c>
      <c r="J27" s="4">
        <v>5805</v>
      </c>
      <c r="K27" s="4">
        <v>5268</v>
      </c>
      <c r="L27" s="4">
        <v>116</v>
      </c>
      <c r="M27" s="4">
        <v>120</v>
      </c>
      <c r="N27" s="4">
        <v>247</v>
      </c>
      <c r="O27" s="4">
        <v>312</v>
      </c>
      <c r="P27" s="4">
        <v>1542</v>
      </c>
      <c r="Q27" s="4">
        <v>1766</v>
      </c>
      <c r="R27" s="4">
        <v>139</v>
      </c>
      <c r="S27" s="4">
        <v>97</v>
      </c>
      <c r="T27" s="4">
        <v>11</v>
      </c>
      <c r="U27" s="4">
        <v>4</v>
      </c>
      <c r="V27" s="4">
        <f t="shared" si="0"/>
        <v>46350</v>
      </c>
    </row>
    <row r="28" spans="1:22" ht="19.95" customHeight="1" x14ac:dyDescent="0.3">
      <c r="A28" s="5" t="s">
        <v>38</v>
      </c>
      <c r="B28" s="6">
        <v>13332</v>
      </c>
      <c r="C28" s="6">
        <v>12917</v>
      </c>
      <c r="D28" s="6">
        <v>4031</v>
      </c>
      <c r="E28" s="6">
        <v>3657</v>
      </c>
      <c r="F28" s="6">
        <v>8125</v>
      </c>
      <c r="G28" s="6">
        <v>10189</v>
      </c>
      <c r="H28" s="6">
        <v>6171</v>
      </c>
      <c r="I28" s="6">
        <v>6430</v>
      </c>
      <c r="J28" s="6">
        <v>11846</v>
      </c>
      <c r="K28" s="6">
        <v>10539</v>
      </c>
      <c r="L28" s="6">
        <v>83</v>
      </c>
      <c r="M28" s="6">
        <v>113</v>
      </c>
      <c r="N28" s="6">
        <v>240</v>
      </c>
      <c r="O28" s="6">
        <v>351</v>
      </c>
      <c r="P28" s="6">
        <v>2189</v>
      </c>
      <c r="Q28" s="6">
        <v>2394</v>
      </c>
      <c r="R28" s="6">
        <v>132</v>
      </c>
      <c r="S28" s="6">
        <v>87</v>
      </c>
      <c r="T28" s="6">
        <v>5</v>
      </c>
      <c r="U28" s="6">
        <v>1</v>
      </c>
      <c r="V28" s="6">
        <f t="shared" si="0"/>
        <v>92832</v>
      </c>
    </row>
    <row r="29" spans="1:22" ht="19.95" customHeight="1" x14ac:dyDescent="0.3">
      <c r="A29" s="3" t="s">
        <v>39</v>
      </c>
      <c r="B29" s="4">
        <v>27462</v>
      </c>
      <c r="C29" s="4">
        <v>26765</v>
      </c>
      <c r="D29" s="4">
        <v>9184</v>
      </c>
      <c r="E29" s="4">
        <v>9139</v>
      </c>
      <c r="F29" s="4">
        <v>20256</v>
      </c>
      <c r="G29" s="4">
        <v>24461</v>
      </c>
      <c r="H29" s="4">
        <v>14141</v>
      </c>
      <c r="I29" s="4">
        <v>13012</v>
      </c>
      <c r="J29" s="4">
        <v>16423</v>
      </c>
      <c r="K29" s="4">
        <v>13779</v>
      </c>
      <c r="L29" s="4">
        <v>239</v>
      </c>
      <c r="M29" s="4">
        <v>231</v>
      </c>
      <c r="N29" s="4">
        <v>367</v>
      </c>
      <c r="O29" s="4">
        <v>484</v>
      </c>
      <c r="P29" s="4">
        <v>2446</v>
      </c>
      <c r="Q29" s="4">
        <v>2566</v>
      </c>
      <c r="R29" s="4">
        <v>149</v>
      </c>
      <c r="S29" s="4">
        <v>114</v>
      </c>
      <c r="T29" s="4">
        <v>4</v>
      </c>
      <c r="U29" s="4">
        <v>4</v>
      </c>
      <c r="V29" s="4">
        <f t="shared" si="0"/>
        <v>181226</v>
      </c>
    </row>
    <row r="30" spans="1:22" ht="19.95" customHeight="1" x14ac:dyDescent="0.3">
      <c r="A30" s="5" t="s">
        <v>40</v>
      </c>
      <c r="B30" s="6">
        <v>11005</v>
      </c>
      <c r="C30" s="6">
        <v>10421</v>
      </c>
      <c r="D30" s="6">
        <v>2121</v>
      </c>
      <c r="E30" s="6">
        <v>2060</v>
      </c>
      <c r="F30" s="6">
        <v>6489</v>
      </c>
      <c r="G30" s="6">
        <v>8644</v>
      </c>
      <c r="H30" s="6">
        <v>4681</v>
      </c>
      <c r="I30" s="6">
        <v>4924</v>
      </c>
      <c r="J30" s="6">
        <v>9874</v>
      </c>
      <c r="K30" s="6">
        <v>8900</v>
      </c>
      <c r="L30" s="6">
        <v>105</v>
      </c>
      <c r="M30" s="6">
        <v>114</v>
      </c>
      <c r="N30" s="6">
        <v>346</v>
      </c>
      <c r="O30" s="6">
        <v>398</v>
      </c>
      <c r="P30" s="6">
        <v>2319</v>
      </c>
      <c r="Q30" s="6">
        <v>2189</v>
      </c>
      <c r="R30" s="6">
        <v>116</v>
      </c>
      <c r="S30" s="6">
        <v>96</v>
      </c>
      <c r="T30" s="6">
        <v>7</v>
      </c>
      <c r="U30" s="6">
        <v>1</v>
      </c>
      <c r="V30" s="6">
        <f t="shared" si="0"/>
        <v>74810</v>
      </c>
    </row>
    <row r="31" spans="1:22" ht="19.95" customHeight="1" x14ac:dyDescent="0.3">
      <c r="A31" s="3" t="s">
        <v>41</v>
      </c>
      <c r="B31" s="4">
        <v>12781</v>
      </c>
      <c r="C31" s="4">
        <v>11939</v>
      </c>
      <c r="D31" s="4">
        <v>4205</v>
      </c>
      <c r="E31" s="4">
        <v>4124</v>
      </c>
      <c r="F31" s="4">
        <v>6127</v>
      </c>
      <c r="G31" s="4">
        <v>8383</v>
      </c>
      <c r="H31" s="4">
        <v>6078</v>
      </c>
      <c r="I31" s="4">
        <v>6587</v>
      </c>
      <c r="J31" s="4">
        <v>15176</v>
      </c>
      <c r="K31" s="4">
        <v>13871</v>
      </c>
      <c r="L31" s="4">
        <v>138</v>
      </c>
      <c r="M31" s="4">
        <v>188</v>
      </c>
      <c r="N31" s="4">
        <v>509</v>
      </c>
      <c r="O31" s="4">
        <v>708</v>
      </c>
      <c r="P31" s="4">
        <v>3147</v>
      </c>
      <c r="Q31" s="4">
        <v>3387</v>
      </c>
      <c r="R31" s="4">
        <v>188</v>
      </c>
      <c r="S31" s="4">
        <v>153</v>
      </c>
      <c r="T31" s="4">
        <v>10</v>
      </c>
      <c r="U31" s="4">
        <v>8</v>
      </c>
      <c r="V31" s="4">
        <f t="shared" si="0"/>
        <v>97707</v>
      </c>
    </row>
    <row r="32" spans="1:22" ht="19.95" customHeight="1" x14ac:dyDescent="0.3">
      <c r="A32" s="5" t="s">
        <v>42</v>
      </c>
      <c r="B32" s="6">
        <v>19597</v>
      </c>
      <c r="C32" s="6">
        <v>18441</v>
      </c>
      <c r="D32" s="6">
        <v>3182</v>
      </c>
      <c r="E32" s="6">
        <v>3161</v>
      </c>
      <c r="F32" s="6">
        <v>9431</v>
      </c>
      <c r="G32" s="6">
        <v>12461</v>
      </c>
      <c r="H32" s="6">
        <v>7032</v>
      </c>
      <c r="I32" s="6">
        <v>7182</v>
      </c>
      <c r="J32" s="6">
        <v>13727</v>
      </c>
      <c r="K32" s="6">
        <v>12389</v>
      </c>
      <c r="L32" s="6">
        <v>368</v>
      </c>
      <c r="M32" s="6">
        <v>373</v>
      </c>
      <c r="N32" s="6">
        <v>276</v>
      </c>
      <c r="O32" s="6">
        <v>423</v>
      </c>
      <c r="P32" s="6">
        <v>3054</v>
      </c>
      <c r="Q32" s="6">
        <v>3168</v>
      </c>
      <c r="R32" s="6">
        <v>226</v>
      </c>
      <c r="S32" s="6">
        <v>166</v>
      </c>
      <c r="T32" s="6">
        <v>12</v>
      </c>
      <c r="U32" s="6">
        <v>5</v>
      </c>
      <c r="V32" s="6">
        <f t="shared" si="0"/>
        <v>114674</v>
      </c>
    </row>
    <row r="33" spans="1:22" ht="19.95" customHeight="1" x14ac:dyDescent="0.3">
      <c r="A33" s="3" t="s">
        <v>43</v>
      </c>
      <c r="B33" s="4">
        <v>8960</v>
      </c>
      <c r="C33" s="4">
        <v>8375</v>
      </c>
      <c r="D33" s="4">
        <v>1119</v>
      </c>
      <c r="E33" s="4">
        <v>1137</v>
      </c>
      <c r="F33" s="4">
        <v>5289</v>
      </c>
      <c r="G33" s="4">
        <v>5987</v>
      </c>
      <c r="H33" s="4">
        <v>2802</v>
      </c>
      <c r="I33" s="4">
        <v>2839</v>
      </c>
      <c r="J33" s="4">
        <v>4809</v>
      </c>
      <c r="K33" s="4">
        <v>4032</v>
      </c>
      <c r="L33" s="4">
        <v>63</v>
      </c>
      <c r="M33" s="4">
        <v>87</v>
      </c>
      <c r="N33" s="4">
        <v>90</v>
      </c>
      <c r="O33" s="4">
        <v>130</v>
      </c>
      <c r="P33" s="4">
        <v>768</v>
      </c>
      <c r="Q33" s="4">
        <v>838</v>
      </c>
      <c r="R33" s="4">
        <v>65</v>
      </c>
      <c r="S33" s="4">
        <v>45</v>
      </c>
      <c r="T33" s="4">
        <v>2</v>
      </c>
      <c r="U33" s="4">
        <v>0</v>
      </c>
      <c r="V33" s="4">
        <f t="shared" si="0"/>
        <v>47437</v>
      </c>
    </row>
    <row r="34" spans="1:22" ht="19.95" customHeight="1" x14ac:dyDescent="0.3">
      <c r="A34" s="5" t="s">
        <v>44</v>
      </c>
      <c r="B34" s="6">
        <v>9084</v>
      </c>
      <c r="C34" s="6">
        <v>8549</v>
      </c>
      <c r="D34" s="6">
        <v>3128</v>
      </c>
      <c r="E34" s="6">
        <v>3033</v>
      </c>
      <c r="F34" s="6">
        <v>4728</v>
      </c>
      <c r="G34" s="6">
        <v>6270</v>
      </c>
      <c r="H34" s="6">
        <v>4565</v>
      </c>
      <c r="I34" s="6">
        <v>4905</v>
      </c>
      <c r="J34" s="6">
        <v>11287</v>
      </c>
      <c r="K34" s="6">
        <v>9681</v>
      </c>
      <c r="L34" s="6">
        <v>90</v>
      </c>
      <c r="M34" s="6">
        <v>122</v>
      </c>
      <c r="N34" s="6">
        <v>348</v>
      </c>
      <c r="O34" s="6">
        <v>571</v>
      </c>
      <c r="P34" s="6">
        <v>2204</v>
      </c>
      <c r="Q34" s="6">
        <v>2341</v>
      </c>
      <c r="R34" s="6">
        <v>122</v>
      </c>
      <c r="S34" s="6">
        <v>94</v>
      </c>
      <c r="T34" s="6">
        <v>8</v>
      </c>
      <c r="U34" s="6">
        <v>3</v>
      </c>
      <c r="V34" s="6">
        <f t="shared" si="0"/>
        <v>71133</v>
      </c>
    </row>
    <row r="35" spans="1:22" ht="19.95" customHeight="1" x14ac:dyDescent="0.3">
      <c r="A35" s="3" t="s">
        <v>45</v>
      </c>
      <c r="B35" s="4">
        <v>8243</v>
      </c>
      <c r="C35" s="4">
        <v>7949</v>
      </c>
      <c r="D35" s="4">
        <v>2371</v>
      </c>
      <c r="E35" s="4">
        <v>2183</v>
      </c>
      <c r="F35" s="4">
        <v>3373</v>
      </c>
      <c r="G35" s="4">
        <v>4294</v>
      </c>
      <c r="H35" s="4">
        <v>3714</v>
      </c>
      <c r="I35" s="4">
        <v>3960</v>
      </c>
      <c r="J35" s="4">
        <v>9709</v>
      </c>
      <c r="K35" s="4">
        <v>8401</v>
      </c>
      <c r="L35" s="4">
        <v>126</v>
      </c>
      <c r="M35" s="4">
        <v>146</v>
      </c>
      <c r="N35" s="4">
        <v>361</v>
      </c>
      <c r="O35" s="4">
        <v>529</v>
      </c>
      <c r="P35" s="4">
        <v>2532</v>
      </c>
      <c r="Q35" s="4">
        <v>2708</v>
      </c>
      <c r="R35" s="4">
        <v>154</v>
      </c>
      <c r="S35" s="4">
        <v>113</v>
      </c>
      <c r="T35" s="4">
        <v>6</v>
      </c>
      <c r="U35" s="4">
        <v>5</v>
      </c>
      <c r="V35" s="4">
        <f t="shared" si="0"/>
        <v>60877</v>
      </c>
    </row>
    <row r="36" spans="1:22" ht="24" customHeight="1" x14ac:dyDescent="0.3">
      <c r="A36" s="7" t="s">
        <v>46</v>
      </c>
      <c r="B36" s="8">
        <f t="shared" ref="B36:V36" si="1">SUM(B5:B35)</f>
        <v>424392</v>
      </c>
      <c r="C36" s="8">
        <f t="shared" si="1"/>
        <v>401890</v>
      </c>
      <c r="D36" s="8">
        <f t="shared" si="1"/>
        <v>109824</v>
      </c>
      <c r="E36" s="8">
        <f t="shared" si="1"/>
        <v>106398</v>
      </c>
      <c r="F36" s="8">
        <f t="shared" si="1"/>
        <v>178418</v>
      </c>
      <c r="G36" s="8">
        <f t="shared" si="1"/>
        <v>232325</v>
      </c>
      <c r="H36" s="8">
        <f t="shared" si="1"/>
        <v>168789</v>
      </c>
      <c r="I36" s="8">
        <f t="shared" si="1"/>
        <v>182182</v>
      </c>
      <c r="J36" s="8">
        <f t="shared" si="1"/>
        <v>419542</v>
      </c>
      <c r="K36" s="8">
        <f t="shared" si="1"/>
        <v>393901</v>
      </c>
      <c r="L36" s="8">
        <f t="shared" si="1"/>
        <v>7610</v>
      </c>
      <c r="M36" s="8">
        <f t="shared" si="1"/>
        <v>9291</v>
      </c>
      <c r="N36" s="8">
        <f t="shared" si="1"/>
        <v>16780</v>
      </c>
      <c r="O36" s="8">
        <f t="shared" si="1"/>
        <v>23601</v>
      </c>
      <c r="P36" s="8">
        <f t="shared" si="1"/>
        <v>141871</v>
      </c>
      <c r="Q36" s="8">
        <f t="shared" si="1"/>
        <v>149016</v>
      </c>
      <c r="R36" s="8">
        <f t="shared" si="1"/>
        <v>11599</v>
      </c>
      <c r="S36" s="8">
        <f t="shared" si="1"/>
        <v>9016</v>
      </c>
      <c r="T36" s="8">
        <f t="shared" si="1"/>
        <v>990</v>
      </c>
      <c r="U36" s="8">
        <f t="shared" si="1"/>
        <v>528</v>
      </c>
      <c r="V36" s="8">
        <f t="shared" si="1"/>
        <v>2987963</v>
      </c>
    </row>
  </sheetData>
  <mergeCells count="12">
    <mergeCell ref="B3:C3"/>
    <mergeCell ref="A3:A4"/>
    <mergeCell ref="V3:V4"/>
    <mergeCell ref="R3:S3"/>
    <mergeCell ref="D3:E3"/>
    <mergeCell ref="T3:U3"/>
    <mergeCell ref="H3:I3"/>
    <mergeCell ref="F3:G3"/>
    <mergeCell ref="L3:M3"/>
    <mergeCell ref="J3:K3"/>
    <mergeCell ref="P3:Q3"/>
    <mergeCell ref="N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Pendidikan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Tsany Deni</cp:lastModifiedBy>
  <dcterms:created xsi:type="dcterms:W3CDTF">2026-06-27T23:04:31Z</dcterms:created>
  <dcterms:modified xsi:type="dcterms:W3CDTF">2026-06-27T23:06:05Z</dcterms:modified>
</cp:coreProperties>
</file>